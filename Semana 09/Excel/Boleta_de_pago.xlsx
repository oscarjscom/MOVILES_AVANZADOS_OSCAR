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ámetros" sheetId="1" state="visible" r:id="rId1"/>
    <sheet xmlns:r="http://schemas.openxmlformats.org/officeDocument/2006/relationships" name="Boleta" sheetId="2" state="visible" r:id="rId2"/>
    <sheet xmlns:r="http://schemas.openxmlformats.org/officeDocument/2006/relationships" name="Casos" sheetId="3" state="visible" r:id="rId3"/>
    <sheet xmlns:r="http://schemas.openxmlformats.org/officeDocument/2006/relationships" name="Explicación" sheetId="4" state="visible" r:id="rId4"/>
  </sheets>
  <definedNames>
    <definedName name="RMV">'Parámetros'!$B$5</definedName>
    <definedName name="PctAsignacion">'Parámetros'!$B$6</definedName>
    <definedName name="PctONP">'Parámetros'!$B$7</definedName>
    <definedName name="PctEsSalud">'Parámetros'!$B$8</definedName>
    <definedName name="DiasMes">'Parámetros'!$B$9</definedName>
    <definedName name="HorasDia">'Parámetros'!$B$10</definedName>
    <definedName name="Factor25">'Parámetros'!$B$11</definedName>
    <definedName name="Factor35">'Parámetros'!$B$12</definedName>
    <definedName name="TablaAFP">'Parámetros'!$A$16:$D$20</definedName>
    <definedName name="ListaAFP">'Parámetros'!$A$16:$A$20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name val="Consolas"/>
      <color rgb="00404040"/>
      <sz val="10"/>
    </font>
    <font>
      <b val="1"/>
    </font>
    <font>
      <b val="1"/>
      <color rgb="000000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3" borderId="1" pivotButton="0" quotePrefix="0" xfId="0"/>
    <xf numFmtId="0" fontId="4" fillId="0" borderId="1" pivotButton="0" quotePrefix="0" xfId="0"/>
    <xf numFmtId="9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0" fontId="5" fillId="0" borderId="0" pivotButton="0" quotePrefix="0" xfId="0"/>
    <xf numFmtId="10" fontId="0" fillId="3" borderId="1" pivotButton="0" quotePrefix="0" xfId="0"/>
    <xf numFmtId="4" fontId="6" fillId="3" borderId="1" pivotButton="0" quotePrefix="0" xfId="0"/>
    <xf numFmtId="1" fontId="6" fillId="3" borderId="1" pivotButton="0" quotePrefix="0" xfId="0"/>
    <xf numFmtId="0" fontId="6" fillId="3" borderId="1" pivotButton="0" quotePrefix="0" xfId="0"/>
    <xf numFmtId="2" fontId="6" fillId="3" borderId="1" pivotButton="0" quotePrefix="0" xfId="0"/>
    <xf numFmtId="0" fontId="5" fillId="4" borderId="0" pivotButton="0" quotePrefix="0" xfId="0"/>
    <xf numFmtId="0" fontId="0" fillId="4" borderId="0" pivotButton="0" quotePrefix="0" xfId="0"/>
    <xf numFmtId="4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5" fillId="3" borderId="1" pivotButton="0" quotePrefix="0" xfId="0"/>
    <xf numFmtId="4" fontId="5" fillId="3" borderId="1" pivotButton="0" quotePrefix="0" xfId="0"/>
    <xf numFmtId="10" fontId="0" fillId="0" borderId="1" pivotButton="0" quotePrefix="0" xfId="0"/>
    <xf numFmtId="4" fontId="6" fillId="0" borderId="1" pivotButton="0" quotePrefix="0" xfId="0"/>
    <xf numFmtId="0" fontId="6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2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Parámetros</t>
        </is>
      </c>
    </row>
    <row r="2">
      <c r="A2" s="2" t="inlineStr">
        <is>
          <t>Los parámetros no se escriben dentro de las fórmulas: están solo aquí y las fórmulas los usan por su nombre.</t>
        </is>
      </c>
    </row>
    <row r="4">
      <c r="A4" s="3" t="inlineStr">
        <is>
          <t>Parámetro</t>
        </is>
      </c>
      <c r="B4" s="3" t="inlineStr">
        <is>
          <t>Valor</t>
        </is>
      </c>
      <c r="C4" s="3" t="inlineStr">
        <is>
          <t>Nombre en las fórmulas</t>
        </is>
      </c>
      <c r="D4" s="3" t="inlineStr">
        <is>
          <t>Fuente</t>
        </is>
      </c>
      <c r="E4" s="3" t="inlineStr">
        <is>
          <t>Fecha de consulta</t>
        </is>
      </c>
    </row>
    <row r="5">
      <c r="A5" s="4" t="inlineStr">
        <is>
          <t>RMV (remuneración mínima vital)</t>
        </is>
      </c>
      <c r="B5" s="5" t="n">
        <v>1230</v>
      </c>
      <c r="C5" s="6" t="inlineStr">
        <is>
          <t>RMV</t>
        </is>
      </c>
      <c r="D5" s="4" t="inlineStr">
        <is>
          <t>D.S. N° 015-2026-TR (El Peruano, 28/09/2026), vigente desde el 1 de octubre de 2026</t>
        </is>
      </c>
      <c r="E5" s="4" t="inlineStr">
        <is>
          <t>29/10/2026</t>
        </is>
      </c>
    </row>
    <row r="6">
      <c r="A6" s="4" t="inlineStr">
        <is>
          <t>Asignación familiar</t>
        </is>
      </c>
      <c r="B6" s="7" t="n">
        <v>0.1</v>
      </c>
      <c r="C6" s="6" t="inlineStr">
        <is>
          <t>PctAsignacion</t>
        </is>
      </c>
      <c r="D6" s="4" t="inlineStr">
        <is>
          <t>Ley 25129: 10% de la RMV (valor indicado en el enunciado)</t>
        </is>
      </c>
      <c r="E6" s="4" t="inlineStr">
        <is>
          <t>Enunciado</t>
        </is>
      </c>
    </row>
    <row r="7">
      <c r="A7" s="4" t="inlineStr">
        <is>
          <t>ONP</t>
        </is>
      </c>
      <c r="B7" s="7" t="n">
        <v>0.13</v>
      </c>
      <c r="C7" s="6" t="inlineStr">
        <is>
          <t>PctONP</t>
        </is>
      </c>
      <c r="D7" s="4" t="inlineStr">
        <is>
          <t>D.L. 19990 (valor indicado en el enunciado)</t>
        </is>
      </c>
      <c r="E7" s="4" t="inlineStr">
        <is>
          <t>Enunciado</t>
        </is>
      </c>
    </row>
    <row r="8">
      <c r="A8" s="4" t="inlineStr">
        <is>
          <t>EsSalud (lo paga el empleador)</t>
        </is>
      </c>
      <c r="B8" s="7" t="n">
        <v>0.09</v>
      </c>
      <c r="C8" s="6" t="inlineStr">
        <is>
          <t>PctEsSalud</t>
        </is>
      </c>
      <c r="D8" s="4" t="inlineStr">
        <is>
          <t>Ley 26790 (valor indicado en el enunciado)</t>
        </is>
      </c>
      <c r="E8" s="4" t="inlineStr">
        <is>
          <t>Enunciado</t>
        </is>
      </c>
    </row>
    <row r="9">
      <c r="A9" s="4" t="inlineStr">
        <is>
          <t>Días del mes para el sueldo</t>
        </is>
      </c>
      <c r="B9" s="8" t="n">
        <v>30</v>
      </c>
      <c r="C9" s="6" t="inlineStr">
        <is>
          <t>DiasMes</t>
        </is>
      </c>
      <c r="D9" s="4" t="inlineStr">
        <is>
          <t>Regla del enunciado: sueldo ÷ 30</t>
        </is>
      </c>
      <c r="E9" s="4" t="inlineStr">
        <is>
          <t>Enunciado</t>
        </is>
      </c>
    </row>
    <row r="10">
      <c r="A10" s="4" t="inlineStr">
        <is>
          <t>Horas por día para el valor hora</t>
        </is>
      </c>
      <c r="B10" s="8" t="n">
        <v>8</v>
      </c>
      <c r="C10" s="6" t="inlineStr">
        <is>
          <t>HorasDia</t>
        </is>
      </c>
      <c r="D10" s="4" t="inlineStr">
        <is>
          <t>Regla del enunciado: sueldo ÷ 30 ÷ 8</t>
        </is>
      </c>
      <c r="E10" s="4" t="inlineStr">
        <is>
          <t>Enunciado</t>
        </is>
      </c>
    </row>
    <row r="11">
      <c r="A11" s="4" t="inlineStr">
        <is>
          <t>Recargo de horas extras al 25%</t>
        </is>
      </c>
      <c r="B11" s="9" t="n">
        <v>1.25</v>
      </c>
      <c r="C11" s="6" t="inlineStr">
        <is>
          <t>Factor25</t>
        </is>
      </c>
      <c r="D11" s="4" t="inlineStr">
        <is>
          <t>Normas de jornada y sobretiempo (enunciado)</t>
        </is>
      </c>
      <c r="E11" s="4" t="inlineStr">
        <is>
          <t>Enunciado</t>
        </is>
      </c>
    </row>
    <row r="12">
      <c r="A12" s="4" t="inlineStr">
        <is>
          <t>Recargo de horas extras al 35%</t>
        </is>
      </c>
      <c r="B12" s="9" t="n">
        <v>1.35</v>
      </c>
      <c r="C12" s="6" t="inlineStr">
        <is>
          <t>Factor35</t>
        </is>
      </c>
      <c r="D12" s="4" t="inlineStr">
        <is>
          <t>Normas de jornada y sobretiempo (enunciado)</t>
        </is>
      </c>
      <c r="E12" s="4" t="inlineStr">
        <is>
          <t>Enunciado</t>
        </is>
      </c>
    </row>
    <row r="14">
      <c r="A14" s="10" t="inlineStr">
        <is>
          <t>Tasas de cada AFP (sobre el total de remuneraciones)</t>
        </is>
      </c>
    </row>
    <row r="15">
      <c r="A15" s="3" t="inlineStr">
        <is>
          <t>AFP</t>
        </is>
      </c>
      <c r="B15" s="3" t="inlineStr">
        <is>
          <t>Fondo</t>
        </is>
      </c>
      <c r="C15" s="3" t="inlineStr">
        <is>
          <t>Comisión</t>
        </is>
      </c>
      <c r="D15" s="3" t="inlineStr">
        <is>
          <t>Seguro</t>
        </is>
      </c>
      <c r="E15" s="3" t="inlineStr">
        <is>
          <t>Fuente</t>
        </is>
      </c>
      <c r="F15" s="3" t="inlineStr">
        <is>
          <t>Fecha de consulta</t>
        </is>
      </c>
    </row>
    <row r="16">
      <c r="A16" s="4" t="inlineStr">
        <is>
          <t>AFP Ejemplo</t>
        </is>
      </c>
      <c r="B16" s="11" t="n">
        <v>0.1</v>
      </c>
      <c r="C16" s="11" t="n">
        <v>0.016</v>
      </c>
      <c r="D16" s="11" t="n">
        <v>0.0135</v>
      </c>
      <c r="E16" s="4" t="inlineStr">
        <is>
          <t>Valores de prueba del enunciado (solo para los casos 1 a 4)</t>
        </is>
      </c>
      <c r="F16" s="4" t="inlineStr">
        <is>
          <t>Enunciado</t>
        </is>
      </c>
    </row>
    <row r="17">
      <c r="A17" s="4" t="inlineStr">
        <is>
          <t>Habitat</t>
        </is>
      </c>
      <c r="B17" s="11" t="n">
        <v>0.1</v>
      </c>
      <c r="C17" s="11" t="n">
        <v>0.0147</v>
      </c>
      <c r="D17" s="11" t="n">
        <v>0.0137</v>
      </c>
      <c r="E17" s="4" t="inlineStr">
        <is>
          <t>SBS, devengue octubre 2026 (comisión sobre flujo), publicado por Buk el 12/10/2026</t>
        </is>
      </c>
      <c r="F17" s="4" t="inlineStr">
        <is>
          <t>29/10/2026</t>
        </is>
      </c>
    </row>
    <row r="18">
      <c r="A18" s="4" t="inlineStr">
        <is>
          <t>Integra</t>
        </is>
      </c>
      <c r="B18" s="11" t="n">
        <v>0.1</v>
      </c>
      <c r="C18" s="11" t="n">
        <v>0.0155</v>
      </c>
      <c r="D18" s="11" t="n">
        <v>0.0137</v>
      </c>
      <c r="E18" s="4" t="inlineStr">
        <is>
          <t>SBS, devengue octubre 2026 (comisión sobre flujo), publicado por Buk el 12/10/2026</t>
        </is>
      </c>
      <c r="F18" s="4" t="inlineStr">
        <is>
          <t>29/10/2026</t>
        </is>
      </c>
    </row>
    <row r="19">
      <c r="A19" s="4" t="inlineStr">
        <is>
          <t>Prima</t>
        </is>
      </c>
      <c r="B19" s="11" t="n">
        <v>0.1</v>
      </c>
      <c r="C19" s="11" t="n">
        <v>0.016</v>
      </c>
      <c r="D19" s="11" t="n">
        <v>0.0137</v>
      </c>
      <c r="E19" s="4" t="inlineStr">
        <is>
          <t>SBS, devengue octubre 2026 (comisión sobre flujo), publicado por Buk el 12/10/2026</t>
        </is>
      </c>
      <c r="F19" s="4" t="inlineStr">
        <is>
          <t>29/10/2026</t>
        </is>
      </c>
    </row>
    <row r="20">
      <c r="A20" s="4" t="inlineStr">
        <is>
          <t>Profuturo</t>
        </is>
      </c>
      <c r="B20" s="11" t="n">
        <v>0.1</v>
      </c>
      <c r="C20" s="11" t="n">
        <v>0.0169</v>
      </c>
      <c r="D20" s="11" t="n">
        <v>0.0137</v>
      </c>
      <c r="E20" s="4" t="inlineStr">
        <is>
          <t>SBS, devengue octubre 2026 (comisión sobre flujo), publicado por Buk el 12/10/2026</t>
        </is>
      </c>
      <c r="F20" s="4" t="inlineStr">
        <is>
          <t>29/10/2026</t>
        </is>
      </c>
    </row>
    <row r="22">
      <c r="A22" s="2" t="inlineStr">
        <is>
          <t>Convención: cada concepto se redondea a 2 decimales y luego se suman. Montos en soles.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70" customWidth="1" min="3" max="3"/>
  </cols>
  <sheetData>
    <row r="1">
      <c r="A1" s="1" t="inlineStr">
        <is>
          <t>Boleta de ejemplo</t>
        </is>
      </c>
    </row>
    <row r="2">
      <c r="A2" s="2" t="inlineStr">
        <is>
          <t>Cambia los datos en azul. Todo lo demás se calcula con fórmulas; la columna C muestra la fórmula de cada celda.</t>
        </is>
      </c>
    </row>
    <row r="4">
      <c r="A4" s="3" t="inlineStr">
        <is>
          <t>Dato de entrada</t>
        </is>
      </c>
      <c r="B4" s="3" t="inlineStr">
        <is>
          <t>Valor</t>
        </is>
      </c>
      <c r="C4" s="3" t="inlineStr">
        <is>
          <t>Validación</t>
        </is>
      </c>
    </row>
    <row r="5">
      <c r="A5" s="4" t="inlineStr">
        <is>
          <t>Sueldo básico (S/)</t>
        </is>
      </c>
      <c r="B5" s="12" t="n">
        <v>3000</v>
      </c>
      <c r="C5" s="4">
        <f>IF(AND(ISNUMBER(B5),B5&gt;0),"OK","Debe ser mayor que cero")</f>
        <v/>
      </c>
    </row>
    <row r="6">
      <c r="A6" s="4" t="inlineStr">
        <is>
          <t>Días laborados</t>
        </is>
      </c>
      <c r="B6" s="13" t="n">
        <v>30</v>
      </c>
      <c r="C6" s="4">
        <f>IF(AND(ISNUMBER(B6),B6&gt;=1,B6&lt;=30,B6=INT(B6)),"OK","Entre 1 y 30")</f>
        <v/>
      </c>
    </row>
    <row r="7">
      <c r="A7" s="4" t="inlineStr">
        <is>
          <t>¿Tiene hijos? (Sí / No)</t>
        </is>
      </c>
      <c r="B7" s="14" t="inlineStr">
        <is>
          <t>Sí</t>
        </is>
      </c>
      <c r="C7" s="4">
        <f>IF(OR(B7="Sí",B7="No"),"OK","Elegir Sí o No")</f>
        <v/>
      </c>
    </row>
    <row r="8">
      <c r="A8" s="4" t="inlineStr">
        <is>
          <t>Sistema de pensiones (ONP / AFP)</t>
        </is>
      </c>
      <c r="B8" s="14" t="inlineStr">
        <is>
          <t>AFP</t>
        </is>
      </c>
      <c r="C8" s="4">
        <f>IF(OR(B8="ONP",B8="AFP"),"OK","Elegir ONP o AFP")</f>
        <v/>
      </c>
    </row>
    <row r="9">
      <c r="A9" s="4" t="inlineStr">
        <is>
          <t>AFP (solo si eligió AFP)</t>
        </is>
      </c>
      <c r="B9" s="14" t="inlineStr">
        <is>
          <t>AFP Ejemplo</t>
        </is>
      </c>
      <c r="C9" s="4">
        <f>IF(B8="ONP","No aplica",IF(ISNA(MATCH(B9,ListaAFP,0)),"Elegir una AFP de la lista","OK"))</f>
        <v/>
      </c>
    </row>
    <row r="10">
      <c r="A10" s="4" t="inlineStr">
        <is>
          <t>Horas extras al 25%</t>
        </is>
      </c>
      <c r="B10" s="15" t="n">
        <v>4</v>
      </c>
      <c r="C10" s="4">
        <f>IF(AND(ISNUMBER(B10),B10&gt;=0),"OK","Mayor o igual a cero")</f>
        <v/>
      </c>
    </row>
    <row r="11">
      <c r="A11" s="4" t="inlineStr">
        <is>
          <t>Horas extras al 35%</t>
        </is>
      </c>
      <c r="B11" s="15" t="n">
        <v>4</v>
      </c>
      <c r="C11" s="4">
        <f>IF(AND(ISNUMBER(B11),B11&gt;=0),"OK","Mayor o igual a cero")</f>
        <v/>
      </c>
    </row>
    <row r="12">
      <c r="A12" s="4" t="inlineStr">
        <is>
          <t>Adelantos (S/)</t>
        </is>
      </c>
      <c r="B12" s="12" t="n">
        <v>200</v>
      </c>
      <c r="C12" s="4">
        <f>IF(AND(ISNUMBER(B12),B12&gt;=0),"OK","Mayor o igual a cero")</f>
        <v/>
      </c>
    </row>
    <row r="13">
      <c r="A13" s="10" t="inlineStr">
        <is>
          <t>¿Datos válidos?</t>
        </is>
      </c>
      <c r="B13" s="10">
        <f>IF(COUNTIF(C5:C12,"OK")+COUNTIF(C5:C12,"No aplica")=8,"Sí, se puede calcular","No: revisa la columna C")</f>
        <v/>
      </c>
    </row>
    <row r="15">
      <c r="A15" s="3" t="inlineStr">
        <is>
          <t>Concepto</t>
        </is>
      </c>
      <c r="B15" s="3" t="inlineStr">
        <is>
          <t>Monto (S/)</t>
        </is>
      </c>
      <c r="C15" s="3" t="inlineStr">
        <is>
          <t>Fórmula de la celda</t>
        </is>
      </c>
    </row>
    <row r="16">
      <c r="A16" s="16" t="inlineStr">
        <is>
          <t>REMUNERACIONES</t>
        </is>
      </c>
      <c r="B16" s="17" t="n"/>
      <c r="C16" s="17" t="n"/>
    </row>
    <row r="17">
      <c r="A17" s="4" t="inlineStr">
        <is>
          <t>Sueldo computable</t>
        </is>
      </c>
      <c r="B17" s="18">
        <f>ROUND(B5/DiasMes*B6,2)</f>
        <v/>
      </c>
      <c r="C17" s="6">
        <f>_xlfn.FORMULATEXT(B17)</f>
        <v/>
      </c>
    </row>
    <row r="18">
      <c r="A18" s="4" t="inlineStr">
        <is>
          <t>Asignación familiar</t>
        </is>
      </c>
      <c r="B18" s="18">
        <f>IF(B7="Sí",ROUND(RMV*PctAsignacion,2),0)</f>
        <v/>
      </c>
      <c r="C18" s="6">
        <f>_xlfn.FORMULATEXT(B18)</f>
        <v/>
      </c>
    </row>
    <row r="19">
      <c r="A19" s="4" t="inlineStr">
        <is>
          <t>Valor hora (no se redondea)</t>
        </is>
      </c>
      <c r="B19" s="19">
        <f>B5/DiasMes/HorasDia</f>
        <v/>
      </c>
      <c r="C19" s="6">
        <f>_xlfn.FORMULATEXT(B19)</f>
        <v/>
      </c>
    </row>
    <row r="20">
      <c r="A20" s="4" t="inlineStr">
        <is>
          <t>Horas extras 25%</t>
        </is>
      </c>
      <c r="B20" s="18">
        <f>ROUND(B19*Factor25*B10,2)</f>
        <v/>
      </c>
      <c r="C20" s="6">
        <f>_xlfn.FORMULATEXT(B20)</f>
        <v/>
      </c>
    </row>
    <row r="21">
      <c r="A21" s="4" t="inlineStr">
        <is>
          <t>Horas extras 35%</t>
        </is>
      </c>
      <c r="B21" s="18">
        <f>ROUND(B19*Factor35*B11,2)</f>
        <v/>
      </c>
      <c r="C21" s="6">
        <f>_xlfn.FORMULATEXT(B21)</f>
        <v/>
      </c>
    </row>
    <row r="22">
      <c r="A22" s="20" t="inlineStr">
        <is>
          <t>Total remuneraciones</t>
        </is>
      </c>
      <c r="B22" s="21">
        <f>ROUND(SUM(B17,B18,B20,B21),2)</f>
        <v/>
      </c>
      <c r="C22" s="6">
        <f>_xlfn.FORMULATEXT(B22)</f>
        <v/>
      </c>
    </row>
    <row r="23">
      <c r="A23" s="16" t="inlineStr">
        <is>
          <t>RETENCIONES / DESCUENTOS</t>
        </is>
      </c>
      <c r="B23" s="17" t="n"/>
      <c r="C23" s="17" t="n"/>
    </row>
    <row r="24">
      <c r="A24" s="4" t="inlineStr">
        <is>
          <t>ONP</t>
        </is>
      </c>
      <c r="B24" s="18">
        <f>IF(B8="ONP",ROUND(B22*PctONP,2),0)</f>
        <v/>
      </c>
      <c r="C24" s="6">
        <f>_xlfn.FORMULATEXT(B24)</f>
        <v/>
      </c>
    </row>
    <row r="25">
      <c r="A25" s="4" t="inlineStr">
        <is>
          <t>AFP fondo</t>
        </is>
      </c>
      <c r="B25" s="18">
        <f>IF(B8="AFP",ROUND(B22*VLOOKUP(B9,TablaAFP,2,FALSE),2),0)</f>
        <v/>
      </c>
      <c r="C25" s="6">
        <f>_xlfn.FORMULATEXT(B25)</f>
        <v/>
      </c>
    </row>
    <row r="26">
      <c r="A26" s="4" t="inlineStr">
        <is>
          <t>AFP comisión</t>
        </is>
      </c>
      <c r="B26" s="18">
        <f>IF(B8="AFP",ROUND(B22*VLOOKUP(B9,TablaAFP,3,FALSE),2),0)</f>
        <v/>
      </c>
      <c r="C26" s="6">
        <f>_xlfn.FORMULATEXT(B26)</f>
        <v/>
      </c>
    </row>
    <row r="27">
      <c r="A27" s="4" t="inlineStr">
        <is>
          <t>AFP seguro</t>
        </is>
      </c>
      <c r="B27" s="18">
        <f>IF(B8="AFP",ROUND(B22*VLOOKUP(B9,TablaAFP,4,FALSE),2),0)</f>
        <v/>
      </c>
      <c r="C27" s="6">
        <f>_xlfn.FORMULATEXT(B27)</f>
        <v/>
      </c>
    </row>
    <row r="28">
      <c r="A28" s="4" t="inlineStr">
        <is>
          <t>Adelantos</t>
        </is>
      </c>
      <c r="B28" s="18">
        <f>ROUND(B12,2)</f>
        <v/>
      </c>
      <c r="C28" s="6">
        <f>_xlfn.FORMULATEXT(B28)</f>
        <v/>
      </c>
    </row>
    <row r="29">
      <c r="A29" s="20" t="inlineStr">
        <is>
          <t>Total descuentos</t>
        </is>
      </c>
      <c r="B29" s="21">
        <f>ROUND(SUM(B24:B28),2)</f>
        <v/>
      </c>
      <c r="C29" s="6">
        <f>_xlfn.FORMULATEXT(B29)</f>
        <v/>
      </c>
    </row>
    <row r="30">
      <c r="A30" s="22" t="inlineStr">
        <is>
          <t>NETO A PAGAR</t>
        </is>
      </c>
      <c r="B30" s="23">
        <f>ROUND(B22-B29,2)</f>
        <v/>
      </c>
      <c r="C30" s="6">
        <f>_xlfn.FORMULATEXT(B30)</f>
        <v/>
      </c>
    </row>
    <row r="31">
      <c r="A31" s="16" t="inlineStr">
        <is>
          <t>APORTACIONES DEL EMPLEADOR</t>
        </is>
      </c>
      <c r="B31" s="17" t="n"/>
      <c r="C31" s="17" t="n"/>
    </row>
    <row r="32">
      <c r="A32" s="4" t="inlineStr">
        <is>
          <t>EsSalud (9%)</t>
        </is>
      </c>
      <c r="B32" s="18">
        <f>ROUND(B22*PctEsSalud,2)</f>
        <v/>
      </c>
      <c r="C32" s="6">
        <f>_xlfn.FORMULATEXT(B32)</f>
        <v/>
      </c>
    </row>
    <row r="33">
      <c r="A33" s="4" t="inlineStr">
        <is>
          <t>Costo total para el empleador</t>
        </is>
      </c>
      <c r="B33" s="18">
        <f>ROUND(B22+B32,2)</f>
        <v/>
      </c>
      <c r="C33" s="6">
        <f>_xlfn.FORMULATEXT(B33)</f>
        <v/>
      </c>
    </row>
    <row r="34">
      <c r="A34" s="4" t="inlineStr">
        <is>
          <t>Neto como % del total de remuneraciones</t>
        </is>
      </c>
      <c r="B34" s="24">
        <f>B30/B22</f>
        <v/>
      </c>
      <c r="C34" s="6">
        <f>_xlfn.FORMULATEXT(B34)</f>
        <v/>
      </c>
    </row>
  </sheetData>
  <dataValidations count="6">
    <dataValidation sqref="B7" showDropDown="0" showInputMessage="0" showErrorMessage="0" allowBlank="0" type="list">
      <formula1>"Sí,No"</formula1>
    </dataValidation>
    <dataValidation sqref="B8" showDropDown="0" showInputMessage="0" showErrorMessage="0" allowBlank="0" type="list">
      <formula1>"ONP,AFP"</formula1>
    </dataValidation>
    <dataValidation sqref="B9" showDropDown="0" showInputMessage="0" showErrorMessage="0" allowBlank="0" type="list">
      <formula1>=ListaAFP</formula1>
    </dataValidation>
    <dataValidation sqref="B6" showDropDown="0" showInputMessage="0" showErrorMessage="0" allowBlank="0" type="whole" operator="between">
      <formula1>1</formula1>
      <formula2>30</formula2>
    </dataValidation>
    <dataValidation sqref="B5" showDropDown="0" showInputMessage="0" showErrorMessage="0" allowBlank="0" type="decimal" operator="greaterThan">
      <formula1>0</formula1>
    </dataValidation>
    <dataValidation sqref="B10:B1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Casos de prueba y casos propios</t>
        </is>
      </c>
    </row>
    <row r="2">
      <c r="A2" s="2" t="inlineStr">
        <is>
          <t>Mismas fórmulas que la hoja Boleta, una columna por caso. La app debe dar el mismo resultado, al centavo.</t>
        </is>
      </c>
    </row>
    <row r="4">
      <c r="A4" s="3" t="inlineStr">
        <is>
          <t>Dato de entrada</t>
        </is>
      </c>
      <c r="B4" s="3" t="inlineStr">
        <is>
          <t>Caso 1</t>
        </is>
      </c>
      <c r="C4" s="3" t="inlineStr">
        <is>
          <t>Caso 2</t>
        </is>
      </c>
      <c r="D4" s="3" t="inlineStr">
        <is>
          <t>Caso 3</t>
        </is>
      </c>
      <c r="E4" s="3" t="inlineStr">
        <is>
          <t>Caso 4</t>
        </is>
      </c>
      <c r="F4" s="3" t="inlineStr">
        <is>
          <t>Propio 1</t>
        </is>
      </c>
      <c r="G4" s="3" t="inlineStr">
        <is>
          <t>Propio 2</t>
        </is>
      </c>
    </row>
    <row r="5">
      <c r="A5" s="4" t="inlineStr">
        <is>
          <t>Sueldo básico (S/)</t>
        </is>
      </c>
      <c r="B5" s="25" t="n">
        <v>2500</v>
      </c>
      <c r="C5" s="25" t="n">
        <v>1800</v>
      </c>
      <c r="D5" s="25" t="n">
        <v>3000</v>
      </c>
      <c r="E5" s="25" t="n">
        <v>4200</v>
      </c>
      <c r="F5" s="25" t="n">
        <v>2500</v>
      </c>
      <c r="G5" s="25" t="n">
        <v>4000</v>
      </c>
    </row>
    <row r="6">
      <c r="A6" s="4" t="inlineStr">
        <is>
          <t>Días laborados</t>
        </is>
      </c>
      <c r="B6" s="26" t="n">
        <v>30</v>
      </c>
      <c r="C6" s="26" t="n">
        <v>27</v>
      </c>
      <c r="D6" s="26" t="n">
        <v>30</v>
      </c>
      <c r="E6" s="26" t="n">
        <v>24</v>
      </c>
      <c r="F6" s="26" t="n">
        <v>30</v>
      </c>
      <c r="G6" s="26" t="n">
        <v>30</v>
      </c>
    </row>
    <row r="7">
      <c r="A7" s="4" t="inlineStr">
        <is>
          <t>¿Tiene hijos?</t>
        </is>
      </c>
      <c r="B7" s="26" t="inlineStr">
        <is>
          <t>No</t>
        </is>
      </c>
      <c r="C7" s="26" t="inlineStr">
        <is>
          <t>Sí</t>
        </is>
      </c>
      <c r="D7" s="26" t="inlineStr">
        <is>
          <t>Sí</t>
        </is>
      </c>
      <c r="E7" s="26" t="inlineStr">
        <is>
          <t>Sí</t>
        </is>
      </c>
      <c r="F7" s="26" t="inlineStr">
        <is>
          <t>No</t>
        </is>
      </c>
      <c r="G7" s="26" t="inlineStr">
        <is>
          <t>No</t>
        </is>
      </c>
    </row>
    <row r="8">
      <c r="A8" s="4" t="inlineStr">
        <is>
          <t>Sistema</t>
        </is>
      </c>
      <c r="B8" s="26" t="inlineStr">
        <is>
          <t>ONP</t>
        </is>
      </c>
      <c r="C8" s="26" t="inlineStr">
        <is>
          <t>ONP</t>
        </is>
      </c>
      <c r="D8" s="26" t="inlineStr">
        <is>
          <t>AFP</t>
        </is>
      </c>
      <c r="E8" s="26" t="inlineStr">
        <is>
          <t>AFP</t>
        </is>
      </c>
      <c r="F8" s="26" t="inlineStr">
        <is>
          <t>AFP</t>
        </is>
      </c>
      <c r="G8" s="26" t="inlineStr">
        <is>
          <t>ONP</t>
        </is>
      </c>
    </row>
    <row r="9">
      <c r="A9" s="4" t="inlineStr">
        <is>
          <t>AFP</t>
        </is>
      </c>
      <c r="B9" s="26" t="inlineStr">
        <is>
          <t>AFP Ejemplo</t>
        </is>
      </c>
      <c r="C9" s="26" t="inlineStr">
        <is>
          <t>AFP Ejemplo</t>
        </is>
      </c>
      <c r="D9" s="26" t="inlineStr">
        <is>
          <t>AFP Ejemplo</t>
        </is>
      </c>
      <c r="E9" s="26" t="inlineStr">
        <is>
          <t>AFP Ejemplo</t>
        </is>
      </c>
      <c r="F9" s="26" t="inlineStr">
        <is>
          <t>Habitat</t>
        </is>
      </c>
      <c r="G9" s="26" t="inlineStr">
        <is>
          <t>AFP Ejemplo</t>
        </is>
      </c>
    </row>
    <row r="10">
      <c r="A10" s="4" t="inlineStr">
        <is>
          <t>Horas extras 25%</t>
        </is>
      </c>
      <c r="B10" s="26" t="n">
        <v>0</v>
      </c>
      <c r="C10" s="26" t="n">
        <v>0</v>
      </c>
      <c r="D10" s="26" t="n">
        <v>4</v>
      </c>
      <c r="E10" s="26" t="n">
        <v>2</v>
      </c>
      <c r="F10" s="26" t="n">
        <v>0</v>
      </c>
      <c r="G10" s="26" t="n">
        <v>0</v>
      </c>
    </row>
    <row r="11">
      <c r="A11" s="4" t="inlineStr">
        <is>
          <t>Horas extras 35%</t>
        </is>
      </c>
      <c r="B11" s="26" t="n">
        <v>0</v>
      </c>
      <c r="C11" s="26" t="n">
        <v>0</v>
      </c>
      <c r="D11" s="26" t="n">
        <v>4</v>
      </c>
      <c r="E11" s="26" t="n">
        <v>2</v>
      </c>
      <c r="F11" s="26" t="n">
        <v>0</v>
      </c>
      <c r="G11" s="26" t="n">
        <v>0</v>
      </c>
    </row>
    <row r="12">
      <c r="A12" s="4" t="inlineStr">
        <is>
          <t>Adelantos (S/)</t>
        </is>
      </c>
      <c r="B12" s="25" t="n">
        <v>0</v>
      </c>
      <c r="C12" s="25" t="n">
        <v>0</v>
      </c>
      <c r="D12" s="25" t="n">
        <v>200</v>
      </c>
      <c r="E12" s="25" t="n">
        <v>100</v>
      </c>
      <c r="F12" s="25" t="n">
        <v>0</v>
      </c>
      <c r="G12" s="25" t="n">
        <v>0</v>
      </c>
    </row>
    <row r="13">
      <c r="A13" s="3" t="inlineStr">
        <is>
          <t>Cálculo</t>
        </is>
      </c>
      <c r="B13" s="3" t="inlineStr">
        <is>
          <t>Caso 1</t>
        </is>
      </c>
      <c r="C13" s="3" t="inlineStr">
        <is>
          <t>Caso 2</t>
        </is>
      </c>
      <c r="D13" s="3" t="inlineStr">
        <is>
          <t>Caso 3</t>
        </is>
      </c>
      <c r="E13" s="3" t="inlineStr">
        <is>
          <t>Caso 4</t>
        </is>
      </c>
      <c r="F13" s="3" t="inlineStr">
        <is>
          <t>Propio 1</t>
        </is>
      </c>
      <c r="G13" s="3" t="inlineStr">
        <is>
          <t>Propio 2</t>
        </is>
      </c>
    </row>
    <row r="14">
      <c r="A14" s="4" t="inlineStr">
        <is>
          <t>Sueldo computable</t>
        </is>
      </c>
      <c r="B14" s="18">
        <f>ROUND(B5/DiasMes*B6,2)</f>
        <v/>
      </c>
      <c r="C14" s="18">
        <f>ROUND(C5/DiasMes*C6,2)</f>
        <v/>
      </c>
      <c r="D14" s="18">
        <f>ROUND(D5/DiasMes*D6,2)</f>
        <v/>
      </c>
      <c r="E14" s="18">
        <f>ROUND(E5/DiasMes*E6,2)</f>
        <v/>
      </c>
      <c r="F14" s="18">
        <f>ROUND(F5/DiasMes*F6,2)</f>
        <v/>
      </c>
      <c r="G14" s="18">
        <f>ROUND(G5/DiasMes*G6,2)</f>
        <v/>
      </c>
    </row>
    <row r="15">
      <c r="A15" s="4" t="inlineStr">
        <is>
          <t>Asignación familiar</t>
        </is>
      </c>
      <c r="B15" s="18">
        <f>IF(B7="Sí",ROUND(RMV*PctAsignacion,2),0)</f>
        <v/>
      </c>
      <c r="C15" s="18">
        <f>IF(C7="Sí",ROUND(RMV*PctAsignacion,2),0)</f>
        <v/>
      </c>
      <c r="D15" s="18">
        <f>IF(D7="Sí",ROUND(RMV*PctAsignacion,2),0)</f>
        <v/>
      </c>
      <c r="E15" s="18">
        <f>IF(E7="Sí",ROUND(RMV*PctAsignacion,2),0)</f>
        <v/>
      </c>
      <c r="F15" s="18">
        <f>IF(F7="Sí",ROUND(RMV*PctAsignacion,2),0)</f>
        <v/>
      </c>
      <c r="G15" s="18">
        <f>IF(G7="Sí",ROUND(RMV*PctAsignacion,2),0)</f>
        <v/>
      </c>
    </row>
    <row r="16">
      <c r="A16" s="4" t="inlineStr">
        <is>
          <t>Valor hora</t>
        </is>
      </c>
      <c r="B16" s="19">
        <f>B5/DiasMes/HorasDia</f>
        <v/>
      </c>
      <c r="C16" s="19">
        <f>C5/DiasMes/HorasDia</f>
        <v/>
      </c>
      <c r="D16" s="19">
        <f>D5/DiasMes/HorasDia</f>
        <v/>
      </c>
      <c r="E16" s="19">
        <f>E5/DiasMes/HorasDia</f>
        <v/>
      </c>
      <c r="F16" s="19">
        <f>F5/DiasMes/HorasDia</f>
        <v/>
      </c>
      <c r="G16" s="19">
        <f>G5/DiasMes/HorasDia</f>
        <v/>
      </c>
    </row>
    <row r="17">
      <c r="A17" s="4" t="inlineStr">
        <is>
          <t>Horas extras 25%</t>
        </is>
      </c>
      <c r="B17" s="18">
        <f>ROUND(B16*Factor25*B10,2)</f>
        <v/>
      </c>
      <c r="C17" s="18">
        <f>ROUND(C16*Factor25*C10,2)</f>
        <v/>
      </c>
      <c r="D17" s="18">
        <f>ROUND(D16*Factor25*D10,2)</f>
        <v/>
      </c>
      <c r="E17" s="18">
        <f>ROUND(E16*Factor25*E10,2)</f>
        <v/>
      </c>
      <c r="F17" s="18">
        <f>ROUND(F16*Factor25*F10,2)</f>
        <v/>
      </c>
      <c r="G17" s="18">
        <f>ROUND(G16*Factor25*G10,2)</f>
        <v/>
      </c>
    </row>
    <row r="18">
      <c r="A18" s="4" t="inlineStr">
        <is>
          <t>Horas extras 35%</t>
        </is>
      </c>
      <c r="B18" s="18">
        <f>ROUND(B16*Factor35*B11,2)</f>
        <v/>
      </c>
      <c r="C18" s="18">
        <f>ROUND(C16*Factor35*C11,2)</f>
        <v/>
      </c>
      <c r="D18" s="18">
        <f>ROUND(D16*Factor35*D11,2)</f>
        <v/>
      </c>
      <c r="E18" s="18">
        <f>ROUND(E16*Factor35*E11,2)</f>
        <v/>
      </c>
      <c r="F18" s="18">
        <f>ROUND(F16*Factor35*F11,2)</f>
        <v/>
      </c>
      <c r="G18" s="18">
        <f>ROUND(G16*Factor35*G11,2)</f>
        <v/>
      </c>
    </row>
    <row r="19">
      <c r="A19" s="20" t="inlineStr">
        <is>
          <t>Total remuneraciones</t>
        </is>
      </c>
      <c r="B19" s="18">
        <f>ROUND(SUM(B14,B15,B17,B18),2)</f>
        <v/>
      </c>
      <c r="C19" s="18">
        <f>ROUND(SUM(C14,C15,C17,C18),2)</f>
        <v/>
      </c>
      <c r="D19" s="18">
        <f>ROUND(SUM(D14,D15,D17,D18),2)</f>
        <v/>
      </c>
      <c r="E19" s="18">
        <f>ROUND(SUM(E14,E15,E17,E18),2)</f>
        <v/>
      </c>
      <c r="F19" s="18">
        <f>ROUND(SUM(F14,F15,F17,F18),2)</f>
        <v/>
      </c>
      <c r="G19" s="18">
        <f>ROUND(SUM(G14,G15,G17,G18),2)</f>
        <v/>
      </c>
    </row>
    <row r="20">
      <c r="A20" s="4" t="inlineStr">
        <is>
          <t>ONP</t>
        </is>
      </c>
      <c r="B20" s="18">
        <f>IF(B8="ONP",ROUND(B19*PctONP,2),0)</f>
        <v/>
      </c>
      <c r="C20" s="18">
        <f>IF(C8="ONP",ROUND(C19*PctONP,2),0)</f>
        <v/>
      </c>
      <c r="D20" s="18">
        <f>IF(D8="ONP",ROUND(D19*PctONP,2),0)</f>
        <v/>
      </c>
      <c r="E20" s="18">
        <f>IF(E8="ONP",ROUND(E19*PctONP,2),0)</f>
        <v/>
      </c>
      <c r="F20" s="18">
        <f>IF(F8="ONP",ROUND(F19*PctONP,2),0)</f>
        <v/>
      </c>
      <c r="G20" s="18">
        <f>IF(G8="ONP",ROUND(G19*PctONP,2),0)</f>
        <v/>
      </c>
    </row>
    <row r="21">
      <c r="A21" s="4" t="inlineStr">
        <is>
          <t>AFP fondo</t>
        </is>
      </c>
      <c r="B21" s="18">
        <f>IF(B8="AFP",ROUND(B19*VLOOKUP(B9,TablaAFP,2,FALSE),2),0)</f>
        <v/>
      </c>
      <c r="C21" s="18">
        <f>IF(C8="AFP",ROUND(C19*VLOOKUP(C9,TablaAFP,2,FALSE),2),0)</f>
        <v/>
      </c>
      <c r="D21" s="18">
        <f>IF(D8="AFP",ROUND(D19*VLOOKUP(D9,TablaAFP,2,FALSE),2),0)</f>
        <v/>
      </c>
      <c r="E21" s="18">
        <f>IF(E8="AFP",ROUND(E19*VLOOKUP(E9,TablaAFP,2,FALSE),2),0)</f>
        <v/>
      </c>
      <c r="F21" s="18">
        <f>IF(F8="AFP",ROUND(F19*VLOOKUP(F9,TablaAFP,2,FALSE),2),0)</f>
        <v/>
      </c>
      <c r="G21" s="18">
        <f>IF(G8="AFP",ROUND(G19*VLOOKUP(G9,TablaAFP,2,FALSE),2),0)</f>
        <v/>
      </c>
    </row>
    <row r="22">
      <c r="A22" s="4" t="inlineStr">
        <is>
          <t>AFP comisión</t>
        </is>
      </c>
      <c r="B22" s="18">
        <f>IF(B8="AFP",ROUND(B19*VLOOKUP(B9,TablaAFP,3,FALSE),2),0)</f>
        <v/>
      </c>
      <c r="C22" s="18">
        <f>IF(C8="AFP",ROUND(C19*VLOOKUP(C9,TablaAFP,3,FALSE),2),0)</f>
        <v/>
      </c>
      <c r="D22" s="18">
        <f>IF(D8="AFP",ROUND(D19*VLOOKUP(D9,TablaAFP,3,FALSE),2),0)</f>
        <v/>
      </c>
      <c r="E22" s="18">
        <f>IF(E8="AFP",ROUND(E19*VLOOKUP(E9,TablaAFP,3,FALSE),2),0)</f>
        <v/>
      </c>
      <c r="F22" s="18">
        <f>IF(F8="AFP",ROUND(F19*VLOOKUP(F9,TablaAFP,3,FALSE),2),0)</f>
        <v/>
      </c>
      <c r="G22" s="18">
        <f>IF(G8="AFP",ROUND(G19*VLOOKUP(G9,TablaAFP,3,FALSE),2),0)</f>
        <v/>
      </c>
    </row>
    <row r="23">
      <c r="A23" s="4" t="inlineStr">
        <is>
          <t>AFP seguro</t>
        </is>
      </c>
      <c r="B23" s="18">
        <f>IF(B8="AFP",ROUND(B19*VLOOKUP(B9,TablaAFP,4,FALSE),2),0)</f>
        <v/>
      </c>
      <c r="C23" s="18">
        <f>IF(C8="AFP",ROUND(C19*VLOOKUP(C9,TablaAFP,4,FALSE),2),0)</f>
        <v/>
      </c>
      <c r="D23" s="18">
        <f>IF(D8="AFP",ROUND(D19*VLOOKUP(D9,TablaAFP,4,FALSE),2),0)</f>
        <v/>
      </c>
      <c r="E23" s="18">
        <f>IF(E8="AFP",ROUND(E19*VLOOKUP(E9,TablaAFP,4,FALSE),2),0)</f>
        <v/>
      </c>
      <c r="F23" s="18">
        <f>IF(F8="AFP",ROUND(F19*VLOOKUP(F9,TablaAFP,4,FALSE),2),0)</f>
        <v/>
      </c>
      <c r="G23" s="18">
        <f>IF(G8="AFP",ROUND(G19*VLOOKUP(G9,TablaAFP,4,FALSE),2),0)</f>
        <v/>
      </c>
    </row>
    <row r="24">
      <c r="A24" s="4" t="inlineStr">
        <is>
          <t>Adelantos</t>
        </is>
      </c>
      <c r="B24" s="18">
        <f>ROUND(B12,2)</f>
        <v/>
      </c>
      <c r="C24" s="18">
        <f>ROUND(C12,2)</f>
        <v/>
      </c>
      <c r="D24" s="18">
        <f>ROUND(D12,2)</f>
        <v/>
      </c>
      <c r="E24" s="18">
        <f>ROUND(E12,2)</f>
        <v/>
      </c>
      <c r="F24" s="18">
        <f>ROUND(F12,2)</f>
        <v/>
      </c>
      <c r="G24" s="18">
        <f>ROUND(G12,2)</f>
        <v/>
      </c>
    </row>
    <row r="25">
      <c r="A25" s="20" t="inlineStr">
        <is>
          <t>Total descuentos</t>
        </is>
      </c>
      <c r="B25" s="18">
        <f>ROUND(SUM(B20:B24),2)</f>
        <v/>
      </c>
      <c r="C25" s="18">
        <f>ROUND(SUM(C20:C24),2)</f>
        <v/>
      </c>
      <c r="D25" s="18">
        <f>ROUND(SUM(D20:D24),2)</f>
        <v/>
      </c>
      <c r="E25" s="18">
        <f>ROUND(SUM(E20:E24),2)</f>
        <v/>
      </c>
      <c r="F25" s="18">
        <f>ROUND(SUM(F20:F24),2)</f>
        <v/>
      </c>
      <c r="G25" s="18">
        <f>ROUND(SUM(G20:G24),2)</f>
        <v/>
      </c>
    </row>
    <row r="26">
      <c r="A26" s="20" t="inlineStr">
        <is>
          <t>NETO A PAGAR</t>
        </is>
      </c>
      <c r="B26" s="23">
        <f>ROUND(B19-B25,2)</f>
        <v/>
      </c>
      <c r="C26" s="23">
        <f>ROUND(C19-C25,2)</f>
        <v/>
      </c>
      <c r="D26" s="23">
        <f>ROUND(D19-D25,2)</f>
        <v/>
      </c>
      <c r="E26" s="23">
        <f>ROUND(E19-E25,2)</f>
        <v/>
      </c>
      <c r="F26" s="23">
        <f>ROUND(F19-F25,2)</f>
        <v/>
      </c>
      <c r="G26" s="23">
        <f>ROUND(G19-G25,2)</f>
        <v/>
      </c>
    </row>
    <row r="27">
      <c r="A27" s="4" t="inlineStr">
        <is>
          <t>EsSalud (9%)</t>
        </is>
      </c>
      <c r="B27" s="18">
        <f>ROUND(B19*PctEsSalud,2)</f>
        <v/>
      </c>
      <c r="C27" s="18">
        <f>ROUND(C19*PctEsSalud,2)</f>
        <v/>
      </c>
      <c r="D27" s="18">
        <f>ROUND(D19*PctEsSalud,2)</f>
        <v/>
      </c>
      <c r="E27" s="18">
        <f>ROUND(E19*PctEsSalud,2)</f>
        <v/>
      </c>
      <c r="F27" s="18">
        <f>ROUND(F19*PctEsSalud,2)</f>
        <v/>
      </c>
      <c r="G27" s="18">
        <f>ROUND(G19*PctEsSalud,2)</f>
        <v/>
      </c>
    </row>
    <row r="28">
      <c r="A28" s="4" t="inlineStr">
        <is>
          <t>Costo total para el empleador</t>
        </is>
      </c>
      <c r="B28" s="18">
        <f>ROUND(B19+B27,2)</f>
        <v/>
      </c>
      <c r="C28" s="18">
        <f>ROUND(C19+C27,2)</f>
        <v/>
      </c>
      <c r="D28" s="18">
        <f>ROUND(D19+D27,2)</f>
        <v/>
      </c>
      <c r="E28" s="18">
        <f>ROUND(E19+E27,2)</f>
        <v/>
      </c>
      <c r="F28" s="18">
        <f>ROUND(F19+F27,2)</f>
        <v/>
      </c>
      <c r="G28" s="18">
        <f>ROUND(G19+G27,2)</f>
        <v/>
      </c>
    </row>
    <row r="29">
      <c r="A29" s="4" t="inlineStr">
        <is>
          <t>Neto como % del total de remuneraciones</t>
        </is>
      </c>
      <c r="B29" s="24">
        <f>B26/B19</f>
        <v/>
      </c>
      <c r="C29" s="24">
        <f>C26/C19</f>
        <v/>
      </c>
      <c r="D29" s="24">
        <f>D26/D19</f>
        <v/>
      </c>
      <c r="E29" s="24">
        <f>E26/E19</f>
        <v/>
      </c>
      <c r="F29" s="24">
        <f>F26/F19</f>
        <v/>
      </c>
      <c r="G29" s="24">
        <f>G26/G19</f>
        <v/>
      </c>
    </row>
    <row r="31">
      <c r="A31" s="3" t="inlineStr">
        <is>
          <t>Control cruzado</t>
        </is>
      </c>
      <c r="B31" s="3" t="inlineStr">
        <is>
          <t>Caso 1</t>
        </is>
      </c>
      <c r="C31" s="3" t="inlineStr">
        <is>
          <t>Caso 2</t>
        </is>
      </c>
      <c r="D31" s="3" t="inlineStr">
        <is>
          <t>Caso 3</t>
        </is>
      </c>
      <c r="E31" s="3" t="inlineStr">
        <is>
          <t>Caso 4</t>
        </is>
      </c>
      <c r="F31" s="3" t="inlineStr">
        <is>
          <t>Propio 1</t>
        </is>
      </c>
      <c r="G31" s="3" t="inlineStr">
        <is>
          <t>Propio 2</t>
        </is>
      </c>
    </row>
    <row r="32">
      <c r="A32" s="4" t="inlineStr">
        <is>
          <t>Neto según el documento</t>
        </is>
      </c>
      <c r="B32" s="18" t="n">
        <v>2175</v>
      </c>
      <c r="C32" s="18" t="n">
        <v>1516.41</v>
      </c>
      <c r="D32" s="18" t="n">
        <v>2631.73</v>
      </c>
      <c r="E32" s="4" t="inlineStr">
        <is>
          <t>Lo revisa el docente</t>
        </is>
      </c>
      <c r="F32" s="4" t="inlineStr">
        <is>
          <t>Sin respuesta</t>
        </is>
      </c>
      <c r="G32" s="4" t="inlineStr">
        <is>
          <t>Sin respuesta</t>
        </is>
      </c>
    </row>
    <row r="33">
      <c r="A33" s="4" t="inlineStr">
        <is>
          <t>Diferencia (Excel − documento)</t>
        </is>
      </c>
      <c r="B33" s="18">
        <f>ROUND(B26-B32,2)</f>
        <v/>
      </c>
      <c r="C33" s="18">
        <f>ROUND(C26-C32,2)</f>
        <v/>
      </c>
      <c r="D33" s="18">
        <f>ROUND(D26-D32,2)</f>
        <v/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</row>
    <row r="34">
      <c r="A34" s="4" t="inlineStr">
        <is>
          <t>¿Coincide al centavo?</t>
        </is>
      </c>
      <c r="B34" s="4">
        <f>IF(B33=0,"Sí","No")</f>
        <v/>
      </c>
      <c r="C34" s="4">
        <f>IF(C33=0,"Sí","No")</f>
        <v/>
      </c>
      <c r="D34" s="4">
        <f>IF(D33=0,"Sí","No")</f>
        <v/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</row>
    <row r="36">
      <c r="A36" s="3" t="inlineStr">
        <is>
          <t>Casos propios: datos reales</t>
        </is>
      </c>
      <c r="B36" s="3" t="inlineStr">
        <is>
          <t>Puesto</t>
        </is>
      </c>
      <c r="C36" s="3" t="inlineStr">
        <is>
          <t>Entidad</t>
        </is>
      </c>
      <c r="D36" s="3" t="inlineStr">
        <is>
          <t>Sueldo publicado</t>
        </is>
      </c>
      <c r="E36" s="3" t="inlineStr">
        <is>
          <t>Enlace</t>
        </is>
      </c>
      <c r="F36" s="3" t="inlineStr">
        <is>
          <t>Fecha de consulta</t>
        </is>
      </c>
    </row>
    <row r="37">
      <c r="A37" s="27" t="inlineStr">
        <is>
          <t>Propio 1</t>
        </is>
      </c>
      <c r="B37" s="27" t="inlineStr">
        <is>
          <t>Asistente de Programación</t>
        </is>
      </c>
      <c r="C37" s="27" t="inlineStr">
        <is>
          <t>SUNARP, Zona Registral N° IX (CAS N° 061)</t>
        </is>
      </c>
      <c r="D37" s="28" t="n">
        <v>2500</v>
      </c>
      <c r="E37" s="27" t="inlineStr">
        <is>
          <t>https://www.convocatoriasdetrabajo.com/oportunidad-laboral-cas-061-asistente-programacion-sunarp-lima-635723.html</t>
        </is>
      </c>
      <c r="F37" s="27" t="inlineStr">
        <is>
          <t>29/10/2026</t>
        </is>
      </c>
    </row>
    <row r="38">
      <c r="A38" s="27" t="inlineStr">
        <is>
          <t>Propio 2</t>
        </is>
      </c>
      <c r="B38" s="27" t="inlineStr">
        <is>
          <t>Analista de Sistemas</t>
        </is>
      </c>
      <c r="C38" s="27" t="inlineStr">
        <is>
          <t>SUNARP, Zona Registral N° IX (CAS N° 061)</t>
        </is>
      </c>
      <c r="D38" s="28" t="n">
        <v>4000</v>
      </c>
      <c r="E38" s="27" t="inlineStr">
        <is>
          <t>https://www.convocatoriasdetrabajo.com/oportunidad-laboral-cas-061-analista-sistemas-sunarp-lima-635724.html</t>
        </is>
      </c>
      <c r="F38" s="27" t="inlineStr">
        <is>
          <t>29/10/2026</t>
        </is>
      </c>
    </row>
    <row r="39">
      <c r="A39" s="2" t="inlineStr">
        <is>
          <t>Bases oficiales: https://www.gob.pe/institucion/sunarp/informes-publicaciones/8667351-proceso-cas-n-061-2025-sunarp-zona-registral-n-ix</t>
        </is>
      </c>
    </row>
    <row r="40">
      <c r="A40" s="2" t="inlineStr">
        <is>
          <t>Solo el sueldo es real. Los demás datos (días, hijos, sistema de pensiones) son ficticios, como pide el enunciado.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  <col width="44" customWidth="1" min="4" max="4"/>
    <col width="34" customWidth="1" min="5" max="5"/>
    <col width="16" customWidth="1" min="6" max="6"/>
  </cols>
  <sheetData>
    <row r="1">
      <c r="A1" s="1" t="inlineStr">
        <is>
          <t>Explicación de cada fórmula</t>
        </is>
      </c>
    </row>
    <row r="2">
      <c r="A2" s="2" t="inlineStr">
        <is>
          <t>Para alguien que no sabe contabilidad. El ejemplo numérico usa el caso 3 (S/ 3,000, 30 días, con hijos, AFP Ejemplo, 4 h al 25%, 4 h al 35%, adelanto S/ 200), que es el que está cargado en la hoja Boleta.</t>
        </is>
      </c>
    </row>
    <row r="4">
      <c r="A4" s="3" t="inlineStr">
        <is>
          <t>Concepto</t>
        </is>
      </c>
      <c r="B4" s="3" t="inlineStr">
        <is>
          <t>Qué es</t>
        </is>
      </c>
      <c r="C4" s="3" t="inlineStr">
        <is>
          <t>Cómo se calcula (en palabras)</t>
        </is>
      </c>
      <c r="D4" s="3" t="inlineStr">
        <is>
          <t>Fórmula en Excel (hoja Boleta)</t>
        </is>
      </c>
      <c r="E4" s="3" t="inlineStr">
        <is>
          <t>Ejemplo numérico</t>
        </is>
      </c>
      <c r="F4" s="3" t="inlineStr">
        <is>
          <t>Resultado en la hoja Boleta</t>
        </is>
      </c>
    </row>
    <row r="5">
      <c r="A5" s="27" t="inlineStr">
        <is>
          <t>Sueldo computable</t>
        </is>
      </c>
      <c r="B5" s="27" t="inlineStr">
        <is>
          <t>La parte del sueldo que corresponde a los días que realmente trabajó.</t>
        </is>
      </c>
      <c r="C5" s="27" t="inlineStr">
        <is>
          <t>Sueldo básico ÷ 30 × días laborados</t>
        </is>
      </c>
      <c r="D5" s="29">
        <f>_xlfn.FORMULATEXT(Boleta!B17)</f>
        <v/>
      </c>
      <c r="E5" s="27" t="inlineStr">
        <is>
          <t>3,000 ÷ 30 × 30 = 3,000.00</t>
        </is>
      </c>
      <c r="F5" s="28">
        <f>Boleta!B17</f>
        <v/>
      </c>
    </row>
    <row r="6">
      <c r="A6" s="27" t="inlineStr">
        <is>
          <t>Asignación familiar</t>
        </is>
      </c>
      <c r="B6" s="27" t="inlineStr">
        <is>
          <t>Un monto fijo para quien tiene hijos. No se recorta por días.</t>
        </is>
      </c>
      <c r="C6" s="27" t="inlineStr">
        <is>
          <t>Si tiene hijos: 10% de la RMV. Si no: 0</t>
        </is>
      </c>
      <c r="D6" s="29">
        <f>_xlfn.FORMULATEXT(Boleta!B18)</f>
        <v/>
      </c>
      <c r="E6" s="27" t="inlineStr">
        <is>
          <t>10% × 1,230 = 123.00</t>
        </is>
      </c>
      <c r="F6" s="28">
        <f>Boleta!B18</f>
        <v/>
      </c>
    </row>
    <row r="7">
      <c r="A7" s="27" t="inlineStr">
        <is>
          <t>Valor hora</t>
        </is>
      </c>
      <c r="B7" s="27" t="inlineStr">
        <is>
          <t>Cuánto vale una hora normal de trabajo. Sirve para pagar las horas extras.</t>
        </is>
      </c>
      <c r="C7" s="27" t="inlineStr">
        <is>
          <t>Sueldo básico ÷ 30 ÷ 8</t>
        </is>
      </c>
      <c r="D7" s="29">
        <f>_xlfn.FORMULATEXT(Boleta!B19)</f>
        <v/>
      </c>
      <c r="E7" s="27" t="inlineStr">
        <is>
          <t>3,000 ÷ 30 ÷ 8 = 12.50</t>
        </is>
      </c>
      <c r="F7" s="30">
        <f>Boleta!B19</f>
        <v/>
      </c>
    </row>
    <row r="8">
      <c r="A8" s="27" t="inlineStr">
        <is>
          <t>Horas extras 25%</t>
        </is>
      </c>
      <c r="B8" s="27" t="inlineStr">
        <is>
          <t>Las primeras horas extra se pagan 25% más caras que una hora normal.</t>
        </is>
      </c>
      <c r="C8" s="27" t="inlineStr">
        <is>
          <t>Valor hora × 1.25 × número de horas</t>
        </is>
      </c>
      <c r="D8" s="29">
        <f>_xlfn.FORMULATEXT(Boleta!B20)</f>
        <v/>
      </c>
      <c r="E8" s="27" t="inlineStr">
        <is>
          <t>12.50 × 1.25 × 4 = 62.50</t>
        </is>
      </c>
      <c r="F8" s="28">
        <f>Boleta!B20</f>
        <v/>
      </c>
    </row>
    <row r="9">
      <c r="A9" s="27" t="inlineStr">
        <is>
          <t>Horas extras 35%</t>
        </is>
      </c>
      <c r="B9" s="27" t="inlineStr">
        <is>
          <t>Las horas extra siguientes se pagan 35% más caras.</t>
        </is>
      </c>
      <c r="C9" s="27" t="inlineStr">
        <is>
          <t>Valor hora × 1.35 × número de horas</t>
        </is>
      </c>
      <c r="D9" s="29">
        <f>_xlfn.FORMULATEXT(Boleta!B21)</f>
        <v/>
      </c>
      <c r="E9" s="27" t="inlineStr">
        <is>
          <t>12.50 × 1.35 × 4 = 67.50</t>
        </is>
      </c>
      <c r="F9" s="28">
        <f>Boleta!B21</f>
        <v/>
      </c>
    </row>
    <row r="10">
      <c r="A10" s="27" t="inlineStr">
        <is>
          <t>Total remuneraciones</t>
        </is>
      </c>
      <c r="B10" s="27" t="inlineStr">
        <is>
          <t>Todo lo que gana el trabajador en el mes, antes de descuentos (sueldo bruto).</t>
        </is>
      </c>
      <c r="C10" s="27" t="inlineStr">
        <is>
          <t>Suma de sueldo computable, asignación familiar y horas extras</t>
        </is>
      </c>
      <c r="D10" s="29">
        <f>_xlfn.FORMULATEXT(Boleta!B22)</f>
        <v/>
      </c>
      <c r="E10" s="27" t="inlineStr">
        <is>
          <t>3,000 + 123 + 62.50 + 67.50 = 3,253.00</t>
        </is>
      </c>
      <c r="F10" s="28">
        <f>Boleta!B22</f>
        <v/>
      </c>
    </row>
    <row r="11">
      <c r="A11" s="27" t="inlineStr">
        <is>
          <t>ONP</t>
        </is>
      </c>
      <c r="B11" s="27" t="inlineStr">
        <is>
          <t>Aporte a la pensión del Estado. Solo se descuenta si está en la ONP.</t>
        </is>
      </c>
      <c r="C11" s="27" t="inlineStr">
        <is>
          <t>13% del total de remuneraciones</t>
        </is>
      </c>
      <c r="D11" s="29">
        <f>_xlfn.FORMULATEXT(Boleta!B24)</f>
        <v/>
      </c>
      <c r="E11" s="27" t="inlineStr">
        <is>
          <t>No aplica en el caso 3 (está en AFP) = 0.00</t>
        </is>
      </c>
      <c r="F11" s="28">
        <f>Boleta!B24</f>
        <v/>
      </c>
    </row>
    <row r="12">
      <c r="A12" s="27" t="inlineStr">
        <is>
          <t>AFP fondo</t>
        </is>
      </c>
      <c r="B12" s="27" t="inlineStr">
        <is>
          <t>La parte que se ahorra en la cuenta personal de jubilación del trabajador.</t>
        </is>
      </c>
      <c r="C12" s="27" t="inlineStr">
        <is>
          <t>Tasa de fondo de su AFP × total de remuneraciones</t>
        </is>
      </c>
      <c r="D12" s="29">
        <f>_xlfn.FORMULATEXT(Boleta!B25)</f>
        <v/>
      </c>
      <c r="E12" s="27" t="inlineStr">
        <is>
          <t>10% × 3,253 = 325.30</t>
        </is>
      </c>
      <c r="F12" s="28">
        <f>Boleta!B25</f>
        <v/>
      </c>
    </row>
    <row r="13">
      <c r="A13" s="27" t="inlineStr">
        <is>
          <t>AFP comisión</t>
        </is>
      </c>
      <c r="B13" s="27" t="inlineStr">
        <is>
          <t>Lo que la AFP cobra por administrar ese ahorro.</t>
        </is>
      </c>
      <c r="C13" s="27" t="inlineStr">
        <is>
          <t>Tasa de comisión de su AFP × total de remuneraciones</t>
        </is>
      </c>
      <c r="D13" s="29">
        <f>_xlfn.FORMULATEXT(Boleta!B26)</f>
        <v/>
      </c>
      <c r="E13" s="27" t="inlineStr">
        <is>
          <t>1.6% × 3,253 = 52.048 → 52.05</t>
        </is>
      </c>
      <c r="F13" s="28">
        <f>Boleta!B26</f>
        <v/>
      </c>
    </row>
    <row r="14">
      <c r="A14" s="27" t="inlineStr">
        <is>
          <t>AFP seguro</t>
        </is>
      </c>
      <c r="B14" s="27" t="inlineStr">
        <is>
          <t>Seguro que cubre invalidez o fallecimiento.</t>
        </is>
      </c>
      <c r="C14" s="27" t="inlineStr">
        <is>
          <t>Tasa de seguro de su AFP × total de remuneraciones</t>
        </is>
      </c>
      <c r="D14" s="29">
        <f>_xlfn.FORMULATEXT(Boleta!B27)</f>
        <v/>
      </c>
      <c r="E14" s="27" t="inlineStr">
        <is>
          <t>1.35% × 3,253 = 43.9155 → 43.92</t>
        </is>
      </c>
      <c r="F14" s="28">
        <f>Boleta!B27</f>
        <v/>
      </c>
    </row>
    <row r="15">
      <c r="A15" s="27" t="inlineStr">
        <is>
          <t>Adelantos</t>
        </is>
      </c>
      <c r="B15" s="27" t="inlineStr">
        <is>
          <t>Dinero que el trabajador ya recibió antes de fin de mes; se le resta.</t>
        </is>
      </c>
      <c r="C15" s="27" t="inlineStr">
        <is>
          <t>Se resta el monto tal cual</t>
        </is>
      </c>
      <c r="D15" s="29">
        <f>_xlfn.FORMULATEXT(Boleta!B28)</f>
        <v/>
      </c>
      <c r="E15" s="27" t="inlineStr">
        <is>
          <t>200.00</t>
        </is>
      </c>
      <c r="F15" s="28">
        <f>Boleta!B28</f>
        <v/>
      </c>
    </row>
    <row r="16">
      <c r="A16" s="27" t="inlineStr">
        <is>
          <t>Total descuentos</t>
        </is>
      </c>
      <c r="B16" s="27" t="inlineStr">
        <is>
          <t>Todo lo que se le quita al trabajador.</t>
        </is>
      </c>
      <c r="C16" s="27" t="inlineStr">
        <is>
          <t>Pensión (ONP o AFP) + adelantos</t>
        </is>
      </c>
      <c r="D16" s="29">
        <f>_xlfn.FORMULATEXT(Boleta!B29)</f>
        <v/>
      </c>
      <c r="E16" s="27" t="inlineStr">
        <is>
          <t>325.30 + 52.05 + 43.92 + 200 = 621.27</t>
        </is>
      </c>
      <c r="F16" s="28">
        <f>Boleta!B29</f>
        <v/>
      </c>
    </row>
    <row r="17">
      <c r="A17" s="27" t="inlineStr">
        <is>
          <t>NETO A PAGAR</t>
        </is>
      </c>
      <c r="B17" s="27" t="inlineStr">
        <is>
          <t>Lo que de verdad llega a la cuenta del trabajador.</t>
        </is>
      </c>
      <c r="C17" s="27" t="inlineStr">
        <is>
          <t>Total remuneraciones − total descuentos</t>
        </is>
      </c>
      <c r="D17" s="29">
        <f>_xlfn.FORMULATEXT(Boleta!B30)</f>
        <v/>
      </c>
      <c r="E17" s="27" t="inlineStr">
        <is>
          <t>3,253.00 − 621.27 = 2,631.73</t>
        </is>
      </c>
      <c r="F17" s="28">
        <f>Boleta!B30</f>
        <v/>
      </c>
    </row>
    <row r="18">
      <c r="A18" s="27" t="inlineStr">
        <is>
          <t>EsSalud</t>
        </is>
      </c>
      <c r="B18" s="27" t="inlineStr">
        <is>
          <t>Seguro de salud que paga la empresa. No se descuenta al trabajador.</t>
        </is>
      </c>
      <c r="C18" s="27" t="inlineStr">
        <is>
          <t>9% del total de remuneraciones</t>
        </is>
      </c>
      <c r="D18" s="29">
        <f>_xlfn.FORMULATEXT(Boleta!B32)</f>
        <v/>
      </c>
      <c r="E18" s="27" t="inlineStr">
        <is>
          <t>9% × 3,253 = 292.77</t>
        </is>
      </c>
      <c r="F18" s="28">
        <f>Boleta!B32</f>
        <v/>
      </c>
    </row>
    <row r="19">
      <c r="A19" s="27" t="inlineStr">
        <is>
          <t>Costo total para el empleador</t>
        </is>
      </c>
      <c r="B19" s="27" t="inlineStr">
        <is>
          <t>Lo que la empresa gasta en ese trabajador ese mes.</t>
        </is>
      </c>
      <c r="C19" s="27" t="inlineStr">
        <is>
          <t>Total remuneraciones + EsSalud</t>
        </is>
      </c>
      <c r="D19" s="29">
        <f>_xlfn.FORMULATEXT(Boleta!B33)</f>
        <v/>
      </c>
      <c r="E19" s="27" t="inlineStr">
        <is>
          <t>3,253.00 + 292.77 = 3,545.77</t>
        </is>
      </c>
      <c r="F19" s="28">
        <f>Boleta!B33</f>
        <v/>
      </c>
    </row>
    <row r="21">
      <c r="A21" s="10" t="inlineStr">
        <is>
          <t>Regla de redondeo</t>
        </is>
      </c>
      <c r="B21" s="31" t="inlineStr">
        <is>
          <t>Cada concepto se redondea a 2 decimales con ROUND y después se suman. Así el Excel y la app dan el mismo resultado al centavo.</t>
        </is>
      </c>
    </row>
    <row r="22">
      <c r="A22" s="10" t="inlineStr">
        <is>
          <t>Parámetros</t>
        </is>
      </c>
      <c r="B22" s="31" t="inlineStr">
        <is>
          <t>RMV, porcentajes y tasas de AFP no están escritos en las fórmulas: se leen de la hoja Parámetros por su nombre (RMV, PctONP, TablaAFP...).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2026-10-29T15:26:50Z</dcterms:created>
  <dcterms:modified xmlns:dcterms="http://purl.org/dc/terms/" xmlns:xsi="http://www.w3.org/2001/XMLSchema-instance" xsi:type="dcterms:W3CDTF">2026-10-29T15:26:50Z</dcterms:modified>
</cp:coreProperties>
</file>